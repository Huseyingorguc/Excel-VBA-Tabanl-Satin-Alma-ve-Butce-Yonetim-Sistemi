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MSİ\Desktop\"/>
    </mc:Choice>
  </mc:AlternateContent>
  <xr:revisionPtr revIDLastSave="0" documentId="13_ncr:1_{E2A0F3DF-9E1E-432A-8444-B73C2518AD9F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ANASAYFA" sheetId="4" r:id="rId1"/>
    <sheet name="AYARLAR" sheetId="1" r:id="rId2"/>
    <sheet name="BUTCE" sheetId="2" r:id="rId3"/>
    <sheet name="DATA" sheetId="3" r:id="rId4"/>
    <sheet name="HESAPLAMALAR" sheetId="5" state="hidden" r:id="rId5"/>
    <sheet name="DASHBOARD" sheetId="6" r:id="rId6"/>
  </sheets>
  <definedNames>
    <definedName name="Dilimleyici_Departman">#N/A</definedName>
    <definedName name="Dilimleyici_Departman_Adi">#N/A</definedName>
    <definedName name="Dilimleyici_Harcanan_Tutar">#N/A</definedName>
    <definedName name="Dilimleyici_Kalan_Bütçe">#N/A</definedName>
    <definedName name="Dilimleyici_Onay_Durumu">#N/A</definedName>
    <definedName name="Dilimleyici_Toplam_Bütçe">#N/A</definedName>
    <definedName name="Dilimleyici_Toplam_Tutar">#N/A</definedName>
  </definedNames>
  <calcPr calcId="191029"/>
  <pivotCaches>
    <pivotCache cacheId="0" r:id="rId7"/>
    <pivotCache cacheId="1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<sst xmlns="http://schemas.openxmlformats.org/spreadsheetml/2006/main" count="104" uniqueCount="46">
  <si>
    <t>Sifre</t>
  </si>
  <si>
    <t>Departman</t>
  </si>
  <si>
    <t>Tarih</t>
  </si>
  <si>
    <t>Personel</t>
  </si>
  <si>
    <t>Adet</t>
  </si>
  <si>
    <t>Fiyat</t>
  </si>
  <si>
    <t>IT</t>
  </si>
  <si>
    <t>Mudur</t>
  </si>
  <si>
    <t>SatinAlma</t>
  </si>
  <si>
    <t>Idari</t>
  </si>
  <si>
    <t xml:space="preserve">Veli </t>
  </si>
  <si>
    <t>Can</t>
  </si>
  <si>
    <t>Şadi</t>
  </si>
  <si>
    <t>Satır Etiketleri</t>
  </si>
  <si>
    <t>Genel Toplam</t>
  </si>
  <si>
    <t>Sevgi</t>
  </si>
  <si>
    <t>Finans</t>
  </si>
  <si>
    <t>Yonetim</t>
  </si>
  <si>
    <t>Ahmet</t>
  </si>
  <si>
    <t>Ayşe</t>
  </si>
  <si>
    <t>Yusuf</t>
  </si>
  <si>
    <t>Gülşen</t>
  </si>
  <si>
    <t>IK</t>
  </si>
  <si>
    <t>A4 Kağıdı</t>
  </si>
  <si>
    <t>Tamamlandi</t>
  </si>
  <si>
    <t>Ali Rıza</t>
  </si>
  <si>
    <t>Laptop</t>
  </si>
  <si>
    <t>Yazıcı (Toner)</t>
  </si>
  <si>
    <t>SİSTEME HOŞ GELDİNİZ ! GÜVENLİ GİRİŞ YAPMAK İÇİN LÜTFEN AŞAĞIDAKİ BUTONA TIKLAYINIZ</t>
  </si>
  <si>
    <t>Yazıcı</t>
  </si>
  <si>
    <t xml:space="preserve">Rol </t>
  </si>
  <si>
    <t>Kullanici Adi</t>
  </si>
  <si>
    <t>Departman Adi</t>
  </si>
  <si>
    <t>Toplam Bütçe</t>
  </si>
  <si>
    <t>Harcanan Tutar</t>
  </si>
  <si>
    <t>Kalan Bütçe</t>
  </si>
  <si>
    <t>Talep ID</t>
  </si>
  <si>
    <t>Urun Adi</t>
  </si>
  <si>
    <t>Toplam Tutar</t>
  </si>
  <si>
    <t>Onay Durumu</t>
  </si>
  <si>
    <t>(boş)</t>
  </si>
  <si>
    <t>Toplam Kalan Bütçe</t>
  </si>
  <si>
    <t>Toplam Toplam Tutar</t>
  </si>
  <si>
    <t>Mehmet</t>
  </si>
  <si>
    <t>Toner</t>
  </si>
  <si>
    <t>Mudur Onayi Bekliyor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</si>
</sst>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6"/>
      <color theme="1" tint="4.9989318521683403E-2"/>
      <name val="Segoe UI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2" fillId="0" borderId="0" xfId="0" applyFont="1" applyAlignment="1">
      <alignment horizontal="center"/>
    </xf>
    <xf numFmtId="0" fontId="1" fillId="4" borderId="0" xfId="0" applyFont="1" applyFill="1"/>
    <xf numFmtId="0" fontId="0" fillId="4" borderId="0" xfId="0" applyFill="1"/>
    <xf numFmtId="0" fontId="0" fillId="4" borderId="8" xfId="0" applyFill="1" applyBorder="1"/>
    <xf numFmtId="0" fontId="0" fillId="0" borderId="2" xfId="0" applyBorder="1"/>
    <xf numFmtId="0" fontId="3" fillId="3" borderId="1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7/relationships/slicerCache" Target="slicerCaches/slicerCache5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4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7.xml"/><Relationship Id="rId10" Type="http://schemas.microsoft.com/office/2007/relationships/slicerCache" Target="slicerCaches/slicerCache2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[Proje_v1.4 .1.xlsm]HESAPLAMALAR!PivotTable2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HESAPLAMALAR!$B$1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E2-4ED6-A2DE-497A2B05749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E2-4ED6-A2DE-497A2B05749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E2-4ED6-A2DE-497A2B05749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8E2-4ED6-A2DE-497A2B05749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8E2-4ED6-A2DE-497A2B05749C}"/>
              </c:ext>
            </c:extLst>
          </c:dPt>
          <c:cat>
            <c:strRef>
              <c:f>HESAPLAMALAR!$A$2:$A$7</c:f>
              <c:strCache>
                <c:ptCount val="5"/>
                <c:pt idx="0">
                  <c:v>Finans</c:v>
                </c:pt>
                <c:pt idx="1">
                  <c:v>IK</c:v>
                </c:pt>
                <c:pt idx="2">
                  <c:v>IT</c:v>
                </c:pt>
                <c:pt idx="3">
                  <c:v>Yonetim</c:v>
                </c:pt>
                <c:pt idx="4">
                  <c:v>(boş)</c:v>
                </c:pt>
              </c:strCache>
            </c:strRef>
          </c:cat>
          <c:val>
            <c:numRef>
              <c:f>HESAPLAMALAR!$B$2:$B$7</c:f>
              <c:numCache>
                <c:formatCode>General</c:formatCode>
                <c:ptCount val="5"/>
                <c:pt idx="0">
                  <c:v>201000</c:v>
                </c:pt>
                <c:pt idx="1">
                  <c:v>3000</c:v>
                </c:pt>
                <c:pt idx="2">
                  <c:v>16200</c:v>
                </c:pt>
                <c:pt idx="3">
                  <c:v>253000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6-4C22-94B9-F572108EE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[Proje_v1.4 .1.xlsm]HESAPLAMALAR!PivotTable3</c:name>
    <c:fmtId val="1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HESAPLAMALAR!$F$1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HESAPLAMALAR!$E$2:$E$7</c:f>
              <c:strCache>
                <c:ptCount val="5"/>
                <c:pt idx="0">
                  <c:v>Finans</c:v>
                </c:pt>
                <c:pt idx="1">
                  <c:v>IK</c:v>
                </c:pt>
                <c:pt idx="2">
                  <c:v>IT</c:v>
                </c:pt>
                <c:pt idx="3">
                  <c:v>Yonetim</c:v>
                </c:pt>
                <c:pt idx="4">
                  <c:v>(boş)</c:v>
                </c:pt>
              </c:strCache>
            </c:strRef>
          </c:cat>
          <c:val>
            <c:numRef>
              <c:f>HESAPLAMALAR!$F$2:$F$7</c:f>
              <c:numCache>
                <c:formatCode>General</c:formatCode>
                <c:ptCount val="5"/>
                <c:pt idx="0">
                  <c:v>79000</c:v>
                </c:pt>
                <c:pt idx="1">
                  <c:v>497000</c:v>
                </c:pt>
                <c:pt idx="2">
                  <c:v>485000</c:v>
                </c:pt>
                <c:pt idx="3">
                  <c:v>347000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99-4E5E-8A70-A897C98E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159279"/>
        <c:axId val="159165039"/>
      </c:barChart>
      <c:catAx>
        <c:axId val="159159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9165039"/>
        <c:crosses val="autoZero"/>
        <c:auto val="1"/>
        <c:lblAlgn val="ctr"/>
        <c:lblOffset val="100"/>
        <c:noMultiLvlLbl val="0"/>
      </c:catAx>
      <c:valAx>
        <c:axId val="15916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9159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[Proje_v1.4 .1.xlsm]HESAPLAMALAR!PivotTable3</c:name>
    <c:fmtId val="1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HESAPLAMALAR!$F$1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HESAPLAMALAR!$E$2:$E$7</c:f>
              <c:strCache>
                <c:ptCount val="5"/>
                <c:pt idx="0">
                  <c:v>Finans</c:v>
                </c:pt>
                <c:pt idx="1">
                  <c:v>IK</c:v>
                </c:pt>
                <c:pt idx="2">
                  <c:v>IT</c:v>
                </c:pt>
                <c:pt idx="3">
                  <c:v>Yonetim</c:v>
                </c:pt>
                <c:pt idx="4">
                  <c:v>(boş)</c:v>
                </c:pt>
              </c:strCache>
            </c:strRef>
          </c:cat>
          <c:val>
            <c:numRef>
              <c:f>HESAPLAMALAR!$F$2:$F$7</c:f>
              <c:numCache>
                <c:formatCode>General</c:formatCode>
                <c:ptCount val="5"/>
                <c:pt idx="0">
                  <c:v>79000</c:v>
                </c:pt>
                <c:pt idx="1">
                  <c:v>497000</c:v>
                </c:pt>
                <c:pt idx="2">
                  <c:v>485000</c:v>
                </c:pt>
                <c:pt idx="3">
                  <c:v>347000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F7-4CB0-A29F-8AD6FDED8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159279"/>
        <c:axId val="159165039"/>
      </c:barChart>
      <c:catAx>
        <c:axId val="159159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9165039"/>
        <c:crosses val="autoZero"/>
        <c:auto val="1"/>
        <c:lblAlgn val="ctr"/>
        <c:lblOffset val="100"/>
        <c:noMultiLvlLbl val="0"/>
      </c:catAx>
      <c:valAx>
        <c:axId val="15916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9159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[Proje_v1.4 .1.xlsm]HESAPLAMALAR!PivotTable2</c:name>
    <c:fmtId val="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HESAPLAMALAR!$B$1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25E-4D97-8F4A-59263E1F5D0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25E-4D97-8F4A-59263E1F5D0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25E-4D97-8F4A-59263E1F5D0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25E-4D97-8F4A-59263E1F5D0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A13-443C-8FC0-B463AF710922}"/>
              </c:ext>
            </c:extLst>
          </c:dPt>
          <c:cat>
            <c:strRef>
              <c:f>HESAPLAMALAR!$A$2:$A$7</c:f>
              <c:strCache>
                <c:ptCount val="5"/>
                <c:pt idx="0">
                  <c:v>Finans</c:v>
                </c:pt>
                <c:pt idx="1">
                  <c:v>IK</c:v>
                </c:pt>
                <c:pt idx="2">
                  <c:v>IT</c:v>
                </c:pt>
                <c:pt idx="3">
                  <c:v>Yonetim</c:v>
                </c:pt>
                <c:pt idx="4">
                  <c:v>(boş)</c:v>
                </c:pt>
              </c:strCache>
            </c:strRef>
          </c:cat>
          <c:val>
            <c:numRef>
              <c:f>HESAPLAMALAR!$B$2:$B$7</c:f>
              <c:numCache>
                <c:formatCode>General</c:formatCode>
                <c:ptCount val="5"/>
                <c:pt idx="0">
                  <c:v>201000</c:v>
                </c:pt>
                <c:pt idx="1">
                  <c:v>3000</c:v>
                </c:pt>
                <c:pt idx="2">
                  <c:v>16200</c:v>
                </c:pt>
                <c:pt idx="3">
                  <c:v>253000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5E-4D97-8F4A-59263E1F5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617220</xdr:colOff>
      <xdr:row>24</xdr:row>
      <xdr:rowOff>102870</xdr:rowOff>
    </xdr:from>
    <xdr:to>
      <xdr:col>16</xdr:col>
      <xdr:colOff>430530</xdr:colOff>
      <xdr:row>26</xdr:row>
      <xdr:rowOff>169545</xdr:rowOff>
    </xdr:to>
    <xdr:sp macro="[0]!SistemiAc" textlink="">
      <xdr:nvSpPr>
        <xdr:cNvPr id="5" name="Dikdörtgen 4">
          <a:extLst>
            <a:ext uri="{FF2B5EF4-FFF2-40B4-BE49-F238E27FC236}">
              <a16:creationId xmlns:a16="http://schemas.microsoft.com/office/drawing/2014/main" id="{471AC825-88E6-99D7-9759-C0E47F20C124}"/>
            </a:ext>
          </a:extLst>
        </xdr:cNvPr>
        <xdr:cNvSpPr/>
      </xdr:nvSpPr>
      <xdr:spPr>
        <a:xfrm>
          <a:off x="8115300" y="4491990"/>
          <a:ext cx="2312670" cy="432435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18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GÜVENLİ</a:t>
          </a:r>
          <a:r>
            <a:rPr lang="tr-TR" sz="1800" b="0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r>
            <a:rPr lang="tr-TR" sz="18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GİRİŞ YAP</a:t>
          </a:r>
        </a:p>
      </xdr:txBody>
    </xdr:sp>
    <xdr:clientData/>
  </xdr:twoCellAnchor>
  <xdr:twoCellAnchor>
    <xdr:from>
      <xdr:col>14</xdr:col>
      <xdr:colOff>363855</xdr:colOff>
      <xdr:row>20</xdr:row>
      <xdr:rowOff>78105</xdr:rowOff>
    </xdr:from>
    <xdr:to>
      <xdr:col>15</xdr:col>
      <xdr:colOff>249555</xdr:colOff>
      <xdr:row>23</xdr:row>
      <xdr:rowOff>93345</xdr:rowOff>
    </xdr:to>
    <xdr:sp macro="" textlink="">
      <xdr:nvSpPr>
        <xdr:cNvPr id="2" name="Ok: Aşağı 1">
          <a:extLst>
            <a:ext uri="{FF2B5EF4-FFF2-40B4-BE49-F238E27FC236}">
              <a16:creationId xmlns:a16="http://schemas.microsoft.com/office/drawing/2014/main" id="{12EF0D35-E523-9EDA-B3B0-121730C2DD60}"/>
            </a:ext>
          </a:extLst>
        </xdr:cNvPr>
        <xdr:cNvSpPr/>
      </xdr:nvSpPr>
      <xdr:spPr>
        <a:xfrm>
          <a:off x="8898255" y="3888105"/>
          <a:ext cx="495300" cy="586740"/>
        </a:xfrm>
        <a:prstGeom prst="downArrow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bg2"/>
            </a:solidFill>
          </a:endParaRPr>
        </a:p>
      </xdr:txBody>
    </xdr:sp>
    <xdr:clientData/>
  </xdr:twoCellAnchor>
  <xdr:twoCellAnchor>
    <xdr:from>
      <xdr:col>1</xdr:col>
      <xdr:colOff>342900</xdr:colOff>
      <xdr:row>23</xdr:row>
      <xdr:rowOff>106680</xdr:rowOff>
    </xdr:from>
    <xdr:to>
      <xdr:col>6</xdr:col>
      <xdr:colOff>594360</xdr:colOff>
      <xdr:row>32</xdr:row>
      <xdr:rowOff>38100</xdr:rowOff>
    </xdr:to>
    <xdr:sp macro="" textlink="">
      <xdr:nvSpPr>
        <xdr:cNvPr id="3" name="Metin kutusu 2">
          <a:extLst>
            <a:ext uri="{FF2B5EF4-FFF2-40B4-BE49-F238E27FC236}">
              <a16:creationId xmlns:a16="http://schemas.microsoft.com/office/drawing/2014/main" id="{C2CBF688-CB47-E904-B2C9-29C026D12F9E}"/>
            </a:ext>
          </a:extLst>
        </xdr:cNvPr>
        <xdr:cNvSpPr txBox="1"/>
      </xdr:nvSpPr>
      <xdr:spPr>
        <a:xfrm>
          <a:off x="967740" y="4312920"/>
          <a:ext cx="3375660" cy="1577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Deneme için kullanıcı giriş ekranı bilgileri (IT DEPARTMANI)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PERSONEL Kullanıcı Adı: Veli /Şifre:123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tr-T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YÖNETİCİ Kullanıcı Adı: Can /Şifre:123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tr-T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Bütçe Güncellemek için Kullanıcı Adı: Sevgi / Şifre:123</a:t>
          </a:r>
        </a:p>
        <a:p>
          <a:endParaRPr lang="tr-T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7</xdr:row>
      <xdr:rowOff>14287</xdr:rowOff>
    </xdr:from>
    <xdr:to>
      <xdr:col>5</xdr:col>
      <xdr:colOff>866775</xdr:colOff>
      <xdr:row>21</xdr:row>
      <xdr:rowOff>90487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39229C3F-B203-6FA2-4580-D65681B8FE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1009650</xdr:colOff>
      <xdr:row>7</xdr:row>
      <xdr:rowOff>23812</xdr:rowOff>
    </xdr:from>
    <xdr:to>
      <xdr:col>12</xdr:col>
      <xdr:colOff>390525</xdr:colOff>
      <xdr:row>21</xdr:row>
      <xdr:rowOff>100012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449EFD1B-4098-330D-4EAC-0544F8B8DE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38100</xdr:colOff>
      <xdr:row>7</xdr:row>
      <xdr:rowOff>142875</xdr:rowOff>
    </xdr:from>
    <xdr:to>
      <xdr:col>16</xdr:col>
      <xdr:colOff>38100</xdr:colOff>
      <xdr:row>21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partman Adi">
              <a:extLst>
                <a:ext uri="{FF2B5EF4-FFF2-40B4-BE49-F238E27FC236}">
                  <a16:creationId xmlns:a16="http://schemas.microsoft.com/office/drawing/2014/main" id="{2F69092D-B023-65E5-D757-3BF9289B5DC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man Adi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53625" y="15335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19050</xdr:colOff>
      <xdr:row>7</xdr:row>
      <xdr:rowOff>133350</xdr:rowOff>
    </xdr:from>
    <xdr:to>
      <xdr:col>22</xdr:col>
      <xdr:colOff>19050</xdr:colOff>
      <xdr:row>20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oplam Bütçe">
              <a:extLst>
                <a:ext uri="{FF2B5EF4-FFF2-40B4-BE49-F238E27FC236}">
                  <a16:creationId xmlns:a16="http://schemas.microsoft.com/office/drawing/2014/main" id="{95163FD8-82DC-BC34-F592-F3F9711BE31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oplam Bütç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92175" y="1524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28575</xdr:colOff>
      <xdr:row>7</xdr:row>
      <xdr:rowOff>142875</xdr:rowOff>
    </xdr:from>
    <xdr:to>
      <xdr:col>19</xdr:col>
      <xdr:colOff>28575</xdr:colOff>
      <xdr:row>21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Harcanan Tutar">
              <a:extLst>
                <a:ext uri="{FF2B5EF4-FFF2-40B4-BE49-F238E27FC236}">
                  <a16:creationId xmlns:a16="http://schemas.microsoft.com/office/drawing/2014/main" id="{E8F0060D-EB44-32A8-CD66-CAA2921BD9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Harcanan Tut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72900" y="15335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9525</xdr:colOff>
      <xdr:row>7</xdr:row>
      <xdr:rowOff>133350</xdr:rowOff>
    </xdr:from>
    <xdr:to>
      <xdr:col>25</xdr:col>
      <xdr:colOff>9525</xdr:colOff>
      <xdr:row>20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Kalan Bütçe">
              <a:extLst>
                <a:ext uri="{FF2B5EF4-FFF2-40B4-BE49-F238E27FC236}">
                  <a16:creationId xmlns:a16="http://schemas.microsoft.com/office/drawing/2014/main" id="{80F140B7-0021-3A30-D8B9-F33743827C2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Kalan Bütç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11450" y="1524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285750</xdr:colOff>
      <xdr:row>21</xdr:row>
      <xdr:rowOff>123825</xdr:rowOff>
    </xdr:from>
    <xdr:to>
      <xdr:col>12</xdr:col>
      <xdr:colOff>895350</xdr:colOff>
      <xdr:row>34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partman">
              <a:extLst>
                <a:ext uri="{FF2B5EF4-FFF2-40B4-BE49-F238E27FC236}">
                  <a16:creationId xmlns:a16="http://schemas.microsoft.com/office/drawing/2014/main" id="{8AA24BF2-DF03-A502-2B3E-6CE5428068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m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67675" y="4181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66675</xdr:colOff>
      <xdr:row>21</xdr:row>
      <xdr:rowOff>114300</xdr:rowOff>
    </xdr:from>
    <xdr:to>
      <xdr:col>16</xdr:col>
      <xdr:colOff>66675</xdr:colOff>
      <xdr:row>34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oplam Tutar">
              <a:extLst>
                <a:ext uri="{FF2B5EF4-FFF2-40B4-BE49-F238E27FC236}">
                  <a16:creationId xmlns:a16="http://schemas.microsoft.com/office/drawing/2014/main" id="{DA97771A-742A-E9A7-26AF-A2176C0BD05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oplam Tut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82200" y="41719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142875</xdr:colOff>
      <xdr:row>21</xdr:row>
      <xdr:rowOff>114300</xdr:rowOff>
    </xdr:from>
    <xdr:to>
      <xdr:col>19</xdr:col>
      <xdr:colOff>142875</xdr:colOff>
      <xdr:row>34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Onay Durumu">
              <a:extLst>
                <a:ext uri="{FF2B5EF4-FFF2-40B4-BE49-F238E27FC236}">
                  <a16:creationId xmlns:a16="http://schemas.microsoft.com/office/drawing/2014/main" id="{76733EE9-BB65-DC43-90B9-0423727CC9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nay Durum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87200" y="41719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0</xdr:row>
      <xdr:rowOff>171450</xdr:rowOff>
    </xdr:from>
    <xdr:to>
      <xdr:col>6</xdr:col>
      <xdr:colOff>104775</xdr:colOff>
      <xdr:row>3</xdr:row>
      <xdr:rowOff>19050</xdr:rowOff>
    </xdr:to>
    <xdr:sp macro="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A5A4B725-47CF-F086-3625-35F8F12C5858}"/>
            </a:ext>
          </a:extLst>
        </xdr:cNvPr>
        <xdr:cNvSpPr/>
      </xdr:nvSpPr>
      <xdr:spPr>
        <a:xfrm>
          <a:off x="485775" y="171450"/>
          <a:ext cx="3276600" cy="4191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1200" b="1">
              <a:solidFill>
                <a:schemeClr val="tx1"/>
              </a:solidFill>
            </a:rPr>
            <a:t>TOPLAM HARCAMA </a:t>
          </a:r>
        </a:p>
        <a:p>
          <a:pPr algn="ctr"/>
          <a:endParaRPr lang="tr-TR" sz="12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16</xdr:col>
      <xdr:colOff>200024</xdr:colOff>
      <xdr:row>3</xdr:row>
      <xdr:rowOff>152399</xdr:rowOff>
    </xdr:from>
    <xdr:to>
      <xdr:col>17</xdr:col>
      <xdr:colOff>323849</xdr:colOff>
      <xdr:row>7</xdr:row>
      <xdr:rowOff>123824</xdr:rowOff>
    </xdr:to>
    <xdr:pic macro="[0]!Yenile">
      <xdr:nvPicPr>
        <xdr:cNvPr id="14" name="Grafik 13" descr="Oklardan daire düz dolguyla">
          <a:extLst>
            <a:ext uri="{FF2B5EF4-FFF2-40B4-BE49-F238E27FC236}">
              <a16:creationId xmlns:a16="http://schemas.microsoft.com/office/drawing/2014/main" id="{50DEE2C5-A12D-66AB-58AF-1242B065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53624" y="723899"/>
          <a:ext cx="733425" cy="733425"/>
        </a:xfrm>
        <a:prstGeom prst="rect">
          <a:avLst/>
        </a:prstGeom>
      </xdr:spPr>
    </xdr:pic>
    <xdr:clientData/>
  </xdr:twoCellAnchor>
  <xdr:twoCellAnchor>
    <xdr:from>
      <xdr:col>18</xdr:col>
      <xdr:colOff>600075</xdr:colOff>
      <xdr:row>30</xdr:row>
      <xdr:rowOff>161925</xdr:rowOff>
    </xdr:from>
    <xdr:to>
      <xdr:col>21</xdr:col>
      <xdr:colOff>142875</xdr:colOff>
      <xdr:row>32</xdr:row>
      <xdr:rowOff>95249</xdr:rowOff>
    </xdr:to>
    <xdr:sp macro="[0]!MenuyeDon" textlink="">
      <xdr:nvSpPr>
        <xdr:cNvPr id="15" name="Metin kutusu 14">
          <a:extLst>
            <a:ext uri="{FF2B5EF4-FFF2-40B4-BE49-F238E27FC236}">
              <a16:creationId xmlns:a16="http://schemas.microsoft.com/office/drawing/2014/main" id="{1B0BF914-CE1E-5074-2C35-29846DDE98E4}"/>
            </a:ext>
          </a:extLst>
        </xdr:cNvPr>
        <xdr:cNvSpPr txBox="1"/>
      </xdr:nvSpPr>
      <xdr:spPr>
        <a:xfrm>
          <a:off x="11572875" y="5876925"/>
          <a:ext cx="1371600" cy="3143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tr-TR" sz="1200"/>
            <a:t>ANA MENÜYE DÖN</a:t>
          </a:r>
        </a:p>
      </xdr:txBody>
    </xdr:sp>
    <xdr:clientData/>
  </xdr:twoCellAnchor>
  <xdr:twoCellAnchor editAs="oneCell">
    <xdr:from>
      <xdr:col>7</xdr:col>
      <xdr:colOff>0</xdr:colOff>
      <xdr:row>4</xdr:row>
      <xdr:rowOff>66675</xdr:rowOff>
    </xdr:from>
    <xdr:to>
      <xdr:col>10</xdr:col>
      <xdr:colOff>0</xdr:colOff>
      <xdr:row>17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Departman 1">
              <a:extLst>
                <a:ext uri="{FF2B5EF4-FFF2-40B4-BE49-F238E27FC236}">
                  <a16:creationId xmlns:a16="http://schemas.microsoft.com/office/drawing/2014/main" id="{6EB0DE0B-ECD3-49B8-9991-A82B94BC96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ma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67200" y="8286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581025</xdr:colOff>
      <xdr:row>4</xdr:row>
      <xdr:rowOff>76200</xdr:rowOff>
    </xdr:from>
    <xdr:to>
      <xdr:col>12</xdr:col>
      <xdr:colOff>581025</xdr:colOff>
      <xdr:row>17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Toplam Tutar 1">
              <a:extLst>
                <a:ext uri="{FF2B5EF4-FFF2-40B4-BE49-F238E27FC236}">
                  <a16:creationId xmlns:a16="http://schemas.microsoft.com/office/drawing/2014/main" id="{60A2D326-3061-4B0B-A7F7-4427B1ADE6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oplam Tuta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67425" y="8382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571500</xdr:colOff>
      <xdr:row>4</xdr:row>
      <xdr:rowOff>76200</xdr:rowOff>
    </xdr:from>
    <xdr:to>
      <xdr:col>15</xdr:col>
      <xdr:colOff>571500</xdr:colOff>
      <xdr:row>17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Onay Durumu 1">
              <a:extLst>
                <a:ext uri="{FF2B5EF4-FFF2-40B4-BE49-F238E27FC236}">
                  <a16:creationId xmlns:a16="http://schemas.microsoft.com/office/drawing/2014/main" id="{C05F6959-27E8-4C60-8001-E375E81F61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nay Durumu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86700" y="8382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0</xdr:col>
      <xdr:colOff>190500</xdr:colOff>
      <xdr:row>20</xdr:row>
      <xdr:rowOff>76200</xdr:rowOff>
    </xdr:from>
    <xdr:to>
      <xdr:col>6</xdr:col>
      <xdr:colOff>190500</xdr:colOff>
      <xdr:row>35</xdr:row>
      <xdr:rowOff>152400</xdr:rowOff>
    </xdr:to>
    <xdr:graphicFrame macro="">
      <xdr:nvGraphicFramePr>
        <xdr:cNvPr id="13" name="Grafik 12">
          <a:extLst>
            <a:ext uri="{FF2B5EF4-FFF2-40B4-BE49-F238E27FC236}">
              <a16:creationId xmlns:a16="http://schemas.microsoft.com/office/drawing/2014/main" id="{11700217-92A4-49A2-BA54-C5988B8F1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200024</xdr:colOff>
      <xdr:row>3</xdr:row>
      <xdr:rowOff>142875</xdr:rowOff>
    </xdr:from>
    <xdr:to>
      <xdr:col>6</xdr:col>
      <xdr:colOff>180975</xdr:colOff>
      <xdr:row>19</xdr:row>
      <xdr:rowOff>47625</xdr:rowOff>
    </xdr:to>
    <xdr:graphicFrame macro="">
      <xdr:nvGraphicFramePr>
        <xdr:cNvPr id="16" name="Grafik 15">
          <a:extLst>
            <a:ext uri="{FF2B5EF4-FFF2-40B4-BE49-F238E27FC236}">
              <a16:creationId xmlns:a16="http://schemas.microsoft.com/office/drawing/2014/main" id="{0386FB26-DCA5-4D8A-A106-45255E955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466725</xdr:colOff>
      <xdr:row>20</xdr:row>
      <xdr:rowOff>104775</xdr:rowOff>
    </xdr:from>
    <xdr:to>
      <xdr:col>9</xdr:col>
      <xdr:colOff>466725</xdr:colOff>
      <xdr:row>33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Departman Adi 1">
              <a:extLst>
                <a:ext uri="{FF2B5EF4-FFF2-40B4-BE49-F238E27FC236}">
                  <a16:creationId xmlns:a16="http://schemas.microsoft.com/office/drawing/2014/main" id="{B128D168-5E54-4CC7-B7DE-196AB491A8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man Adi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24325" y="3914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447675</xdr:colOff>
      <xdr:row>20</xdr:row>
      <xdr:rowOff>95250</xdr:rowOff>
    </xdr:from>
    <xdr:to>
      <xdr:col>15</xdr:col>
      <xdr:colOff>447675</xdr:colOff>
      <xdr:row>33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Toplam Bütçe 1">
              <a:extLst>
                <a:ext uri="{FF2B5EF4-FFF2-40B4-BE49-F238E27FC236}">
                  <a16:creationId xmlns:a16="http://schemas.microsoft.com/office/drawing/2014/main" id="{D45C425B-829E-4BED-9E81-8745833A02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oplam Bütç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2875" y="39052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457200</xdr:colOff>
      <xdr:row>20</xdr:row>
      <xdr:rowOff>104775</xdr:rowOff>
    </xdr:from>
    <xdr:to>
      <xdr:col>12</xdr:col>
      <xdr:colOff>457200</xdr:colOff>
      <xdr:row>33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Harcanan Tutar 1">
              <a:extLst>
                <a:ext uri="{FF2B5EF4-FFF2-40B4-BE49-F238E27FC236}">
                  <a16:creationId xmlns:a16="http://schemas.microsoft.com/office/drawing/2014/main" id="{78E36A47-A5D3-4E05-991C-DF47F0AE85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Harcanan Tuta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43600" y="3914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438150</xdr:colOff>
      <xdr:row>20</xdr:row>
      <xdr:rowOff>95250</xdr:rowOff>
    </xdr:from>
    <xdr:to>
      <xdr:col>18</xdr:col>
      <xdr:colOff>438150</xdr:colOff>
      <xdr:row>33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Kalan Bütçe 1">
              <a:extLst>
                <a:ext uri="{FF2B5EF4-FFF2-40B4-BE49-F238E27FC236}">
                  <a16:creationId xmlns:a16="http://schemas.microsoft.com/office/drawing/2014/main" id="{F67E6730-24A5-45AC-9825-DB3C5EA89A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Kalan Bütç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82150" y="39052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lih Yıldırım" refreshedDate="46016.748731134256" createdVersion="8" refreshedVersion="8" minRefreshableVersion="3" recordCount="10" xr:uid="{35EC18AD-6BFE-46C4-A89E-9E85BB376E3B}">
  <cacheSource type="worksheet">
    <worksheetSource ref="A1:I1048576" sheet="DATA"/>
  </cacheSource>
  <cacheFields count="9">
    <cacheField name="Talep ID" numFmtId="0">
      <sharedItems containsString="0" containsBlank="1" containsNumber="1" containsInteger="1" minValue="1" maxValue="7"/>
    </cacheField>
    <cacheField name="Tarih" numFmtId="0">
      <sharedItems containsNonDate="0" containsDate="1" containsString="0" containsBlank="1" minDate="2025-12-09T23:44:46" maxDate="2025-12-25T17:57:36"/>
    </cacheField>
    <cacheField name="Personel" numFmtId="0">
      <sharedItems containsBlank="1"/>
    </cacheField>
    <cacheField name="Departman" numFmtId="0">
      <sharedItems containsBlank="1" count="5">
        <s v="IK"/>
        <s v="Finans"/>
        <s v="Yonetim"/>
        <s v="IT"/>
        <m/>
      </sharedItems>
    </cacheField>
    <cacheField name="Urun Adi" numFmtId="0">
      <sharedItems containsBlank="1"/>
    </cacheField>
    <cacheField name="Adet" numFmtId="0">
      <sharedItems containsString="0" containsBlank="1" containsNumber="1" containsInteger="1" minValue="1" maxValue="100"/>
    </cacheField>
    <cacheField name="Fiyat" numFmtId="0">
      <sharedItems containsString="0" containsBlank="1" containsNumber="1" containsInteger="1" minValue="30" maxValue="50000"/>
    </cacheField>
    <cacheField name="Toplam Tutar" numFmtId="0">
      <sharedItems containsString="0" containsBlank="1" containsNumber="1" containsInteger="1" minValue="1000" maxValue="250000" count="9">
        <n v="3000"/>
        <n v="1000"/>
        <n v="200000"/>
        <n v="250000"/>
        <n v="15000"/>
        <n v="1200"/>
        <m/>
        <n v="20000" u="1"/>
        <n v="10000" u="1"/>
      </sharedItems>
    </cacheField>
    <cacheField name="Onay Durumu" numFmtId="0">
      <sharedItems containsBlank="1" count="4">
        <s v="Tamamlandi"/>
        <s v="Satin Alma Bekliyor"/>
        <m/>
        <s v="Mudur Onayi Bekliyor" u="1"/>
      </sharedItems>
    </cacheField>
  </cacheFields>
  <extLst>
    <ext xmlns:x14="http://schemas.microsoft.com/office/spreadsheetml/2009/9/main" uri="{725AE2AE-9491-48be-B2B4-4EB974FC3084}">
      <x14:pivotCacheDefinition pivotCacheId="1032050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lih Yıldırım" refreshedDate="46016.748731250002" createdVersion="8" refreshedVersion="8" minRefreshableVersion="3" recordCount="5" xr:uid="{9E493685-13C2-44E5-AA93-3E649773D787}">
  <cacheSource type="worksheet">
    <worksheetSource ref="A1:D1048576" sheet="BUTCE"/>
  </cacheSource>
  <cacheFields count="4">
    <cacheField name="Departman Adi" numFmtId="0">
      <sharedItems containsBlank="1" count="5">
        <s v="IT"/>
        <s v="IK"/>
        <s v="Finans"/>
        <s v="Yonetim"/>
        <m/>
      </sharedItems>
    </cacheField>
    <cacheField name="Toplam Bütçe" numFmtId="0">
      <sharedItems containsString="0" containsBlank="1" containsNumber="1" containsInteger="1" minValue="340000" maxValue="600000" count="4">
        <n v="500000"/>
        <n v="340000"/>
        <n v="600000"/>
        <m/>
      </sharedItems>
    </cacheField>
    <cacheField name="Harcanan Tutar" numFmtId="0">
      <sharedItems containsString="0" containsBlank="1" containsNumber="1" containsInteger="1" minValue="3000" maxValue="261000" count="5">
        <n v="15000"/>
        <n v="3000"/>
        <n v="261000"/>
        <n v="253000"/>
        <m/>
      </sharedItems>
    </cacheField>
    <cacheField name="Kalan Bütçe" numFmtId="0">
      <sharedItems containsString="0" containsBlank="1" containsNumber="1" containsInteger="1" minValue="79000" maxValue="497000" count="5">
        <n v="485000"/>
        <n v="497000"/>
        <n v="79000"/>
        <n v="347000"/>
        <m/>
      </sharedItems>
    </cacheField>
  </cacheFields>
  <extLst>
    <ext xmlns:x14="http://schemas.microsoft.com/office/spreadsheetml/2009/9/main" uri="{725AE2AE-9491-48be-B2B4-4EB974FC3084}">
      <x14:pivotCacheDefinition pivotCacheId="165983984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"/>
    <d v="2025-12-09T23:44:46"/>
    <s v="Gülşen"/>
    <x v="0"/>
    <s v="A4 Kağıdı"/>
    <n v="100"/>
    <n v="30"/>
    <x v="0"/>
    <x v="0"/>
  </r>
  <r>
    <n v="2"/>
    <d v="2025-12-09T23:55:14"/>
    <s v="Ahmet"/>
    <x v="1"/>
    <s v="A4 Kağıdı"/>
    <n v="10"/>
    <n v="100"/>
    <x v="1"/>
    <x v="0"/>
  </r>
  <r>
    <n v="3"/>
    <d v="2025-12-09T23:59:00"/>
    <s v="Ahmet"/>
    <x v="1"/>
    <s v="Laptop"/>
    <n v="10"/>
    <n v="20000"/>
    <x v="2"/>
    <x v="0"/>
  </r>
  <r>
    <n v="4"/>
    <d v="2025-12-10T00:02:46"/>
    <s v="Sevgi"/>
    <x v="2"/>
    <s v="Yazıcı (Toner)"/>
    <n v="5"/>
    <n v="50000"/>
    <x v="3"/>
    <x v="0"/>
  </r>
  <r>
    <n v="5"/>
    <d v="2025-12-10T00:03:40"/>
    <s v="Sevgi"/>
    <x v="2"/>
    <s v="A4 Kağıdı"/>
    <n v="100"/>
    <n v="30"/>
    <x v="0"/>
    <x v="0"/>
  </r>
  <r>
    <n v="6"/>
    <d v="2025-12-18T22:26:20"/>
    <s v="Veli "/>
    <x v="3"/>
    <s v="Yazıcı"/>
    <n v="1"/>
    <n v="15000"/>
    <x v="4"/>
    <x v="0"/>
  </r>
  <r>
    <n v="7"/>
    <d v="2025-12-25T17:57:36"/>
    <s v="Mehmet"/>
    <x v="3"/>
    <s v="Toner"/>
    <n v="12"/>
    <n v="100"/>
    <x v="5"/>
    <x v="1"/>
  </r>
  <r>
    <m/>
    <m/>
    <m/>
    <x v="4"/>
    <m/>
    <m/>
    <m/>
    <x v="6"/>
    <x v="2"/>
  </r>
  <r>
    <m/>
    <m/>
    <m/>
    <x v="4"/>
    <m/>
    <m/>
    <m/>
    <x v="6"/>
    <x v="2"/>
  </r>
  <r>
    <m/>
    <m/>
    <m/>
    <x v="4"/>
    <m/>
    <m/>
    <m/>
    <x v="6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x v="0"/>
    <x v="0"/>
  </r>
  <r>
    <x v="1"/>
    <x v="0"/>
    <x v="1"/>
    <x v="1"/>
  </r>
  <r>
    <x v="2"/>
    <x v="1"/>
    <x v="2"/>
    <x v="2"/>
  </r>
  <r>
    <x v="3"/>
    <x v="2"/>
    <x v="3"/>
    <x v="3"/>
  </r>
  <r>
    <x v="4"/>
    <x v="3"/>
    <x v="4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D0DD8-80A4-4512-AA80-2679E2593633}" name="PivotTable3" cacheId="1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15">
  <location ref="E1:F7" firstHeaderRow="1" firstDataRow="1" firstDataCol="1"/>
  <pivotFields count="4">
    <pivotField axis="axisRow" showAll="0">
      <items count="6">
        <item x="2"/>
        <item x="1"/>
        <item x="0"/>
        <item x="3"/>
        <item x="4"/>
        <item t="default"/>
      </items>
    </pivotField>
    <pivotField showAll="0">
      <items count="5">
        <item x="1"/>
        <item x="0"/>
        <item x="2"/>
        <item x="3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dataField="1" showAll="0">
      <items count="6">
        <item x="2"/>
        <item x="3"/>
        <item x="0"/>
        <item x="1"/>
        <item x="4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Toplam Kalan Bütçe" fld="3" baseField="0" baseItem="0"/>
  </dataFields>
  <chartFormats count="2"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6D7E9E-4E49-455C-903B-C8F854778C91}" name="PivotTable2" cacheId="0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7">
  <location ref="A1:B7" firstHeaderRow="1" firstDataRow="1" firstDataCol="1"/>
  <pivotFields count="9">
    <pivotField showAll="0"/>
    <pivotField showAll="0"/>
    <pivotField showAll="0"/>
    <pivotField axis="axisRow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dataField="1" showAll="0">
      <items count="10">
        <item x="1"/>
        <item x="5"/>
        <item x="0"/>
        <item m="1" x="8"/>
        <item x="4"/>
        <item m="1" x="7"/>
        <item x="2"/>
        <item x="3"/>
        <item x="6"/>
        <item t="default"/>
      </items>
    </pivotField>
    <pivotField showAll="0">
      <items count="5">
        <item m="1" x="3"/>
        <item x="1"/>
        <item x="0"/>
        <item x="2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Toplam Toplam Tutar" fld="7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6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Departman_Adi" xr10:uid="{B7E21402-198F-4006-BAAF-E127A34FA72B}" sourceName="Departman Adi">
  <pivotTables>
    <pivotTable tabId="5" name="PivotTable3"/>
  </pivotTables>
  <data>
    <tabular pivotCacheId="1659839841">
      <items count="5">
        <i x="2" s="1"/>
        <i x="1" s="1"/>
        <i x="0" s="1"/>
        <i x="3" s="1"/>
        <i x="4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Toplam_Bütçe" xr10:uid="{C283E5E2-FF65-443F-8437-C3E6C448ED80}" sourceName="Toplam Bütçe">
  <pivotTables>
    <pivotTable tabId="5" name="PivotTable3"/>
  </pivotTables>
  <data>
    <tabular pivotCacheId="1659839841">
      <items count="4">
        <i x="1" s="1"/>
        <i x="0" s="1"/>
        <i x="2" s="1"/>
        <i x="3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Harcanan_Tutar" xr10:uid="{0376534B-3710-4C37-997D-289B7EBB527F}" sourceName="Harcanan Tutar">
  <pivotTables>
    <pivotTable tabId="5" name="PivotTable3"/>
  </pivotTables>
  <data>
    <tabular pivotCacheId="1659839841">
      <items count="5">
        <i x="1" s="1"/>
        <i x="0" s="1"/>
        <i x="3" s="1"/>
        <i x="2" s="1"/>
        <i x="4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Kalan_Bütçe" xr10:uid="{B6FF381B-E3BF-406A-A2A7-B19441C9CEFA}" sourceName="Kalan Bütçe">
  <pivotTables>
    <pivotTable tabId="5" name="PivotTable3"/>
  </pivotTables>
  <data>
    <tabular pivotCacheId="1659839841">
      <items count="5">
        <i x="2" s="1"/>
        <i x="3" s="1"/>
        <i x="0" s="1"/>
        <i x="1" s="1"/>
        <i x="4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Departman" xr10:uid="{0CBDFA36-9F22-460B-8070-5A6BCD673E57}" sourceName="Departman">
  <pivotTables>
    <pivotTable tabId="5" name="PivotTable2"/>
  </pivotTables>
  <data>
    <tabular pivotCacheId="10320508">
      <items count="5">
        <i x="1" s="1"/>
        <i x="0" s="1"/>
        <i x="3" s="1"/>
        <i x="2" s="1"/>
        <i x="4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Toplam_Tutar" xr10:uid="{1ED84467-4CB9-4FB4-8DB1-C4467426A890}" sourceName="Toplam Tutar">
  <pivotTables>
    <pivotTable tabId="5" name="PivotTable2"/>
  </pivotTables>
  <data>
    <tabular pivotCacheId="10320508">
      <items count="9">
        <i x="1" s="1"/>
        <i x="5" s="1"/>
        <i x="0" s="1"/>
        <i x="4" s="1"/>
        <i x="2" s="1"/>
        <i x="3" s="1"/>
        <i x="8" s="1" nd="1"/>
        <i x="7" s="1" nd="1"/>
        <i x="6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Onay_Durumu" xr10:uid="{FF642754-3AD5-45A0-80B4-EE35560D951C}" sourceName="Onay Durumu">
  <pivotTables>
    <pivotTable tabId="5" name="PivotTable2"/>
  </pivotTables>
  <data>
    <tabular pivotCacheId="10320508">
      <items count="4">
        <i x="1" s="1"/>
        <i x="0" s="1"/>
        <i x="3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man Adi" xr10:uid="{90E60603-B73F-4BF2-994A-A79DB9F372C7}" cache="Dilimleyici_Departman_Adi" caption="Departman Adi" rowHeight="241300"/>
  <slicer name="Toplam Bütçe" xr10:uid="{BF4588E4-0DFD-480A-9B59-0FDEF4DBDBCF}" cache="Dilimleyici_Toplam_Bütçe" caption="Toplam Bütçe" rowHeight="241300"/>
  <slicer name="Harcanan Tutar" xr10:uid="{6BCF1737-016B-4861-B800-09FDB031A079}" cache="Dilimleyici_Harcanan_Tutar" caption="Harcanan Tutar" rowHeight="241300"/>
  <slicer name="Kalan Bütçe" xr10:uid="{65E2AFD3-4A1B-4941-BC70-FF74D888A023}" cache="Dilimleyici_Kalan_Bütçe" caption="Kalan Bütçe" rowHeight="241300"/>
  <slicer name="Departman" xr10:uid="{6031BBEA-6D61-473B-870C-486BD10BE582}" cache="Dilimleyici_Departman" caption="Departman" rowHeight="241300"/>
  <slicer name="Toplam Tutar" xr10:uid="{932BB831-2D8E-46C9-9B94-5E4E4C48A92D}" cache="Dilimleyici_Toplam_Tutar" caption="Toplam Tutar" rowHeight="241300"/>
  <slicer name="Onay Durumu" xr10:uid="{7C2BE1E3-2E69-4842-B92A-035952B57384}" cache="Dilimleyici_Onay_Durumu" caption="Onay Durumu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man Adi 1" xr10:uid="{5E7A016A-2C46-40CD-B0C6-F6622CF577CD}" cache="Dilimleyici_Departman_Adi" caption="Departman Adi" rowHeight="241300"/>
  <slicer name="Toplam Bütçe 1" xr10:uid="{09242024-7B45-457D-BE59-C3EEC341EE9E}" cache="Dilimleyici_Toplam_Bütçe" caption="Toplam Bütçe" rowHeight="241300"/>
  <slicer name="Harcanan Tutar 1" xr10:uid="{441F99FC-CADB-423E-8378-17471D690F1F}" cache="Dilimleyici_Harcanan_Tutar" caption="Harcanan Tutar" rowHeight="241300"/>
  <slicer name="Kalan Bütçe 1" xr10:uid="{71B2F9A7-F921-4FE3-923F-3484EEED36B1}" cache="Dilimleyici_Kalan_Bütçe" caption="Kalan Bütçe" rowHeight="241300"/>
  <slicer name="Departman 1" xr10:uid="{FD66ECD5-8E5B-4456-8C41-18ABD87F81CE}" cache="Dilimleyici_Departman" caption="Departman" rowHeight="241300"/>
  <slicer name="Toplam Tutar 1" xr10:uid="{7AF5BDFB-F4EB-4784-BB9B-F0B9D8A664A6}" cache="Dilimleyici_Toplam_Tutar" caption="Toplam Tutar" rowHeight="241300"/>
  <slicer name="Onay Durumu 1" xr10:uid="{879E0B0A-6FEF-40D2-883D-A9E1F75A0897}" cache="Dilimleyici_Onay_Durumu" caption="Onay Durumu" rowHeight="2413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570BF-9424-4D86-BDC4-31E01FC086EF}">
  <sheetPr codeName="Sayfa4"/>
  <dimension ref="G9:V24"/>
  <sheetViews>
    <sheetView showGridLines="0" tabSelected="1" workbookViewId="0">
      <selection activeCell="I36" sqref="I36"/>
    </sheetView>
  </sheetViews>
  <sheetFormatPr defaultColWidth="9.109375" defaultRowHeight="14.4" x14ac:dyDescent="0.3"/>
  <cols>
    <col min="1" max="16384" width="9.109375" style="7"/>
  </cols>
  <sheetData>
    <row r="9" spans="7:22" x14ac:dyDescent="0.3">
      <c r="G9" s="6"/>
    </row>
    <row r="11" spans="7:22" x14ac:dyDescent="0.3"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</row>
    <row r="12" spans="7:22" x14ac:dyDescent="0.3">
      <c r="I12" s="10" t="s">
        <v>28</v>
      </c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7:22" x14ac:dyDescent="0.3">
      <c r="I13" s="1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5"/>
    </row>
    <row r="14" spans="7:22" x14ac:dyDescent="0.3">
      <c r="I14" s="1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5"/>
    </row>
    <row r="15" spans="7:22" x14ac:dyDescent="0.3">
      <c r="I15" s="1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5"/>
    </row>
    <row r="16" spans="7:22" x14ac:dyDescent="0.3">
      <c r="I16" s="1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5"/>
    </row>
    <row r="17" spans="9:22" x14ac:dyDescent="0.3">
      <c r="I17" s="1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5"/>
    </row>
    <row r="18" spans="9:22" x14ac:dyDescent="0.3">
      <c r="I18" s="1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5"/>
    </row>
    <row r="19" spans="9:22" x14ac:dyDescent="0.3">
      <c r="I19" s="1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5"/>
    </row>
    <row r="20" spans="9:22" x14ac:dyDescent="0.3">
      <c r="I20" s="1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5"/>
    </row>
    <row r="21" spans="9:22" x14ac:dyDescent="0.3">
      <c r="I21" s="1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5"/>
    </row>
    <row r="22" spans="9:22" x14ac:dyDescent="0.3">
      <c r="I22" s="1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5"/>
    </row>
    <row r="23" spans="9:22" x14ac:dyDescent="0.3">
      <c r="I23" s="1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5"/>
    </row>
    <row r="24" spans="9:22" x14ac:dyDescent="0.3">
      <c r="I24" s="16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8"/>
    </row>
  </sheetData>
  <mergeCells count="1">
    <mergeCell ref="I12:V2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D11"/>
  <sheetViews>
    <sheetView workbookViewId="0">
      <selection activeCell="B22" sqref="B22"/>
    </sheetView>
  </sheetViews>
  <sheetFormatPr defaultColWidth="8.88671875" defaultRowHeight="14.4" x14ac:dyDescent="0.3"/>
  <cols>
    <col min="1" max="1" width="12.33203125" style="9" bestFit="1" customWidth="1"/>
    <col min="2" max="2" width="8.33203125" style="9" customWidth="1"/>
    <col min="3" max="3" width="30.88671875" style="9" bestFit="1" customWidth="1"/>
    <col min="4" max="4" width="10.88671875" style="9" bestFit="1" customWidth="1"/>
    <col min="5" max="16384" width="8.88671875" style="9"/>
  </cols>
  <sheetData>
    <row r="1" spans="1:4" x14ac:dyDescent="0.3">
      <c r="A1" s="9" t="s">
        <v>31</v>
      </c>
      <c r="B1" s="9" t="s">
        <v>0</v>
      </c>
      <c r="C1" s="9" t="s">
        <v>30</v>
      </c>
      <c r="D1" s="9" t="s">
        <v>1</v>
      </c>
    </row>
    <row r="2" spans="1:4" x14ac:dyDescent="0.3">
      <c r="A2" s="9" t="s">
        <v>10</v>
      </c>
      <c r="B2" s="9">
        <v>123</v>
      </c>
      <c r="C2" s="9" t="s">
        <v>3</v>
      </c>
      <c r="D2" s="9" t="s">
        <v>6</v>
      </c>
    </row>
    <row r="3" spans="1:4" x14ac:dyDescent="0.3">
      <c r="A3" s="9" t="s">
        <v>11</v>
      </c>
      <c r="B3" s="9">
        <v>123</v>
      </c>
      <c r="C3" s="9" t="s">
        <v>7</v>
      </c>
      <c r="D3" s="9" t="s">
        <v>6</v>
      </c>
    </row>
    <row r="4" spans="1:4" x14ac:dyDescent="0.3">
      <c r="A4" s="9" t="s">
        <v>12</v>
      </c>
      <c r="B4" s="9">
        <v>123</v>
      </c>
      <c r="C4" s="9" t="s">
        <v>8</v>
      </c>
      <c r="D4" s="9" t="s">
        <v>9</v>
      </c>
    </row>
    <row r="5" spans="1:4" x14ac:dyDescent="0.3">
      <c r="A5" s="9" t="s">
        <v>15</v>
      </c>
      <c r="B5" s="9">
        <v>123</v>
      </c>
      <c r="C5" s="9" t="s">
        <v>16</v>
      </c>
      <c r="D5" s="9" t="s">
        <v>17</v>
      </c>
    </row>
    <row r="6" spans="1:4" x14ac:dyDescent="0.3">
      <c r="A6" s="9" t="s">
        <v>18</v>
      </c>
      <c r="B6" s="9">
        <v>123</v>
      </c>
      <c r="C6" s="9" t="s">
        <v>3</v>
      </c>
      <c r="D6" s="9" t="s">
        <v>16</v>
      </c>
    </row>
    <row r="7" spans="1:4" x14ac:dyDescent="0.3">
      <c r="A7" s="9" t="s">
        <v>19</v>
      </c>
      <c r="B7" s="9">
        <v>123</v>
      </c>
      <c r="C7" s="9" t="s">
        <v>3</v>
      </c>
      <c r="D7" s="9" t="s">
        <v>17</v>
      </c>
    </row>
    <row r="8" spans="1:4" x14ac:dyDescent="0.3">
      <c r="A8" s="9" t="s">
        <v>20</v>
      </c>
      <c r="B8" s="9">
        <v>123</v>
      </c>
      <c r="C8" s="9" t="s">
        <v>3</v>
      </c>
      <c r="D8" s="9" t="s">
        <v>8</v>
      </c>
    </row>
    <row r="9" spans="1:4" x14ac:dyDescent="0.3">
      <c r="A9" s="9" t="s">
        <v>21</v>
      </c>
      <c r="B9" s="9">
        <v>123</v>
      </c>
      <c r="C9" s="9" t="s">
        <v>3</v>
      </c>
      <c r="D9" s="9" t="s">
        <v>22</v>
      </c>
    </row>
    <row r="10" spans="1:4" x14ac:dyDescent="0.3">
      <c r="A10" s="9" t="s">
        <v>25</v>
      </c>
      <c r="B10" s="9">
        <v>123</v>
      </c>
      <c r="C10" s="9" t="s">
        <v>7</v>
      </c>
      <c r="D10" s="9" t="s">
        <v>16</v>
      </c>
    </row>
    <row r="11" spans="1:4" x14ac:dyDescent="0.3">
      <c r="A11" s="9" t="s">
        <v>43</v>
      </c>
      <c r="B11" s="9">
        <v>123</v>
      </c>
      <c r="C11" s="9" t="s">
        <v>3</v>
      </c>
      <c r="D11" s="9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A1B17-1812-4A82-816B-9E03522D95B0}">
  <sheetPr codeName="Sayfa2"/>
  <dimension ref="A1:D5"/>
  <sheetViews>
    <sheetView workbookViewId="0">
      <selection activeCell="B2" sqref="B2"/>
    </sheetView>
  </sheetViews>
  <sheetFormatPr defaultRowHeight="14.4" x14ac:dyDescent="0.3"/>
  <cols>
    <col min="1" max="1" width="14.6640625" bestFit="1" customWidth="1"/>
    <col min="2" max="2" width="13.6640625" bestFit="1" customWidth="1"/>
    <col min="3" max="3" width="14.6640625" customWidth="1"/>
    <col min="4" max="4" width="11.88671875" bestFit="1" customWidth="1"/>
  </cols>
  <sheetData>
    <row r="1" spans="1:4" x14ac:dyDescent="0.3">
      <c r="A1" t="s">
        <v>32</v>
      </c>
      <c r="B1" t="s">
        <v>33</v>
      </c>
      <c r="C1" t="s">
        <v>34</v>
      </c>
      <c r="D1" t="s">
        <v>35</v>
      </c>
    </row>
    <row r="2" spans="1:4" x14ac:dyDescent="0.3">
      <c r="A2" t="s">
        <v>6</v>
      </c>
      <c r="B2">
        <v>60000</v>
      </c>
      <c r="C2">
        <v>51758</v>
      </c>
      <c r="D2">
        <v>8242</v>
      </c>
    </row>
    <row r="3" spans="1:4" x14ac:dyDescent="0.3">
      <c r="A3" t="s">
        <v>22</v>
      </c>
      <c r="B3">
        <v>500000</v>
      </c>
      <c r="C3">
        <v>3000</v>
      </c>
      <c r="D3">
        <v>497000</v>
      </c>
    </row>
    <row r="4" spans="1:4" x14ac:dyDescent="0.3">
      <c r="A4" t="s">
        <v>16</v>
      </c>
      <c r="B4">
        <v>340000</v>
      </c>
      <c r="C4">
        <v>261000</v>
      </c>
      <c r="D4">
        <v>79000</v>
      </c>
    </row>
    <row r="5" spans="1:4" x14ac:dyDescent="0.3">
      <c r="A5" t="s">
        <v>17</v>
      </c>
      <c r="B5">
        <v>600000</v>
      </c>
      <c r="C5">
        <v>253000</v>
      </c>
      <c r="D5">
        <v>347000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1ABAC-5E1A-455F-876D-D983983FF46A}">
  <sheetPr codeName="Sayfa3"/>
  <dimension ref="A1:I10"/>
  <sheetViews>
    <sheetView workbookViewId="0">
      <selection activeCell="I10" sqref="I10"/>
    </sheetView>
  </sheetViews>
  <sheetFormatPr defaultRowHeight="14.4" x14ac:dyDescent="0.3"/>
  <cols>
    <col min="1" max="1" width="8.6640625" bestFit="1" customWidth="1"/>
    <col min="2" max="2" width="15.33203125" bestFit="1" customWidth="1"/>
    <col min="3" max="3" width="8.88671875" bestFit="1" customWidth="1"/>
    <col min="4" max="4" width="10.88671875" bestFit="1" customWidth="1"/>
    <col min="5" max="5" width="12.5546875" bestFit="1" customWidth="1"/>
    <col min="6" max="6" width="5.33203125" bestFit="1" customWidth="1"/>
    <col min="7" max="7" width="9.5546875" customWidth="1"/>
    <col min="8" max="8" width="13.33203125" bestFit="1" customWidth="1"/>
    <col min="9" max="9" width="20.44140625" bestFit="1" customWidth="1"/>
  </cols>
  <sheetData>
    <row r="1" spans="1:9" x14ac:dyDescent="0.3">
      <c r="A1" t="s">
        <v>36</v>
      </c>
      <c r="B1" t="s">
        <v>2</v>
      </c>
      <c r="C1" t="s">
        <v>3</v>
      </c>
      <c r="D1" t="s">
        <v>1</v>
      </c>
      <c r="E1" t="s">
        <v>37</v>
      </c>
      <c r="F1" t="s">
        <v>4</v>
      </c>
      <c r="G1" t="s">
        <v>5</v>
      </c>
      <c r="H1" t="s">
        <v>38</v>
      </c>
      <c r="I1" t="s">
        <v>39</v>
      </c>
    </row>
    <row r="2" spans="1:9" x14ac:dyDescent="0.3">
      <c r="A2">
        <v>1</v>
      </c>
      <c r="B2" s="1">
        <v>46000.989421296297</v>
      </c>
      <c r="C2" t="s">
        <v>21</v>
      </c>
      <c r="D2" t="s">
        <v>22</v>
      </c>
      <c r="E2" t="s">
        <v>23</v>
      </c>
      <c r="F2">
        <v>100</v>
      </c>
      <c r="G2">
        <v>30</v>
      </c>
      <c r="H2">
        <v>3000</v>
      </c>
      <c r="I2" t="s">
        <v>24</v>
      </c>
    </row>
    <row r="3" spans="1:9" x14ac:dyDescent="0.3">
      <c r="A3">
        <v>2</v>
      </c>
      <c r="B3" s="1">
        <v>46000.996689814812</v>
      </c>
      <c r="C3" t="s">
        <v>18</v>
      </c>
      <c r="D3" t="s">
        <v>16</v>
      </c>
      <c r="E3" t="s">
        <v>23</v>
      </c>
      <c r="F3">
        <v>10</v>
      </c>
      <c r="G3">
        <v>100</v>
      </c>
      <c r="H3">
        <v>1000</v>
      </c>
      <c r="I3" t="s">
        <v>24</v>
      </c>
    </row>
    <row r="4" spans="1:9" x14ac:dyDescent="0.3">
      <c r="A4">
        <v>3</v>
      </c>
      <c r="B4" s="1">
        <v>46000.999305555553</v>
      </c>
      <c r="C4" t="s">
        <v>18</v>
      </c>
      <c r="D4" t="s">
        <v>16</v>
      </c>
      <c r="E4" t="s">
        <v>26</v>
      </c>
      <c r="F4">
        <v>10</v>
      </c>
      <c r="G4">
        <v>20000</v>
      </c>
      <c r="H4">
        <v>200000</v>
      </c>
      <c r="I4" t="s">
        <v>24</v>
      </c>
    </row>
    <row r="5" spans="1:9" x14ac:dyDescent="0.3">
      <c r="A5">
        <v>4</v>
      </c>
      <c r="B5" s="1">
        <v>46001.001921296294</v>
      </c>
      <c r="C5" t="s">
        <v>15</v>
      </c>
      <c r="D5" t="s">
        <v>17</v>
      </c>
      <c r="E5" t="s">
        <v>27</v>
      </c>
      <c r="F5">
        <v>5</v>
      </c>
      <c r="G5">
        <v>50000</v>
      </c>
      <c r="H5">
        <v>250000</v>
      </c>
      <c r="I5" t="s">
        <v>24</v>
      </c>
    </row>
    <row r="6" spans="1:9" x14ac:dyDescent="0.3">
      <c r="A6">
        <v>5</v>
      </c>
      <c r="B6" s="1">
        <v>46001.002546296295</v>
      </c>
      <c r="C6" t="s">
        <v>15</v>
      </c>
      <c r="D6" t="s">
        <v>17</v>
      </c>
      <c r="E6" t="s">
        <v>23</v>
      </c>
      <c r="F6">
        <v>100</v>
      </c>
      <c r="G6">
        <v>30</v>
      </c>
      <c r="H6">
        <v>3000</v>
      </c>
      <c r="I6" t="s">
        <v>24</v>
      </c>
    </row>
    <row r="7" spans="1:9" x14ac:dyDescent="0.3">
      <c r="A7">
        <v>6</v>
      </c>
      <c r="B7" s="1">
        <v>46009.934953703705</v>
      </c>
      <c r="C7" t="s">
        <v>10</v>
      </c>
      <c r="D7" t="s">
        <v>6</v>
      </c>
      <c r="E7" t="s">
        <v>29</v>
      </c>
      <c r="F7">
        <v>1</v>
      </c>
      <c r="G7">
        <v>15000</v>
      </c>
      <c r="H7">
        <v>15000</v>
      </c>
      <c r="I7" t="s">
        <v>24</v>
      </c>
    </row>
    <row r="8" spans="1:9" x14ac:dyDescent="0.3">
      <c r="A8">
        <v>7</v>
      </c>
      <c r="B8" s="1">
        <v>46016.748333333337</v>
      </c>
      <c r="C8" t="s">
        <v>43</v>
      </c>
      <c r="D8" t="s">
        <v>6</v>
      </c>
      <c r="E8" t="s">
        <v>44</v>
      </c>
      <c r="F8">
        <v>12</v>
      </c>
      <c r="G8">
        <v>100</v>
      </c>
      <c r="H8">
        <v>1200</v>
      </c>
      <c r="I8" t="s">
        <v>24</v>
      </c>
    </row>
    <row r="9" spans="1:9" x14ac:dyDescent="0.3">
      <c r="A9">
        <v>8</v>
      </c>
      <c r="B9" s="1">
        <v>46016.749814814815</v>
      </c>
      <c r="C9" t="s">
        <v>43</v>
      </c>
      <c r="D9" t="s">
        <v>6</v>
      </c>
      <c r="E9" t="s">
        <v>44</v>
      </c>
      <c r="F9">
        <v>1</v>
      </c>
      <c r="G9">
        <v>35558</v>
      </c>
      <c r="H9">
        <v>35558</v>
      </c>
      <c r="I9" t="s">
        <v>24</v>
      </c>
    </row>
    <row r="10" spans="1:9" x14ac:dyDescent="0.3">
      <c r="A10">
        <v>9</v>
      </c>
      <c r="B10" s="1">
        <v>46016.972916666666</v>
      </c>
      <c r="C10" t="s">
        <v>10</v>
      </c>
      <c r="D10" t="s">
        <v>6</v>
      </c>
      <c r="E10" t="s">
        <v>44</v>
      </c>
      <c r="F10">
        <v>10</v>
      </c>
      <c r="G10">
        <v>525</v>
      </c>
      <c r="H10">
        <v>5250</v>
      </c>
      <c r="I10" t="s">
        <v>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C5599-FE3B-4E51-A939-BA6C2418CB15}">
  <sheetPr codeName="Sayfa5"/>
  <dimension ref="A1:M7"/>
  <sheetViews>
    <sheetView workbookViewId="0">
      <selection activeCell="I28" sqref="I28"/>
    </sheetView>
  </sheetViews>
  <sheetFormatPr defaultRowHeight="14.4" x14ac:dyDescent="0.3"/>
  <cols>
    <col min="1" max="1" width="16" bestFit="1" customWidth="1"/>
    <col min="2" max="2" width="19.88671875" bestFit="1" customWidth="1"/>
    <col min="3" max="3" width="2.6640625" bestFit="1" customWidth="1"/>
    <col min="4" max="4" width="2.5546875" bestFit="1" customWidth="1"/>
    <col min="5" max="5" width="16" bestFit="1" customWidth="1"/>
    <col min="6" max="6" width="18.5546875" bestFit="1" customWidth="1"/>
    <col min="7" max="7" width="13.5546875" bestFit="1" customWidth="1"/>
    <col min="13" max="13" width="13.6640625" bestFit="1" customWidth="1"/>
  </cols>
  <sheetData>
    <row r="1" spans="1:13" ht="19.5" customHeight="1" x14ac:dyDescent="0.5">
      <c r="A1" s="2" t="s">
        <v>13</v>
      </c>
      <c r="B1" t="s">
        <v>42</v>
      </c>
      <c r="E1" s="2" t="s">
        <v>13</v>
      </c>
      <c r="F1" t="s">
        <v>41</v>
      </c>
      <c r="M1" s="5"/>
    </row>
    <row r="2" spans="1:13" x14ac:dyDescent="0.3">
      <c r="A2" s="3" t="s">
        <v>16</v>
      </c>
      <c r="B2">
        <v>201000</v>
      </c>
      <c r="E2" s="3" t="s">
        <v>16</v>
      </c>
      <c r="F2">
        <v>79000</v>
      </c>
    </row>
    <row r="3" spans="1:13" x14ac:dyDescent="0.3">
      <c r="A3" s="3" t="s">
        <v>22</v>
      </c>
      <c r="B3">
        <v>3000</v>
      </c>
      <c r="E3" s="3" t="s">
        <v>22</v>
      </c>
      <c r="F3">
        <v>497000</v>
      </c>
    </row>
    <row r="4" spans="1:13" x14ac:dyDescent="0.3">
      <c r="A4" s="3" t="s">
        <v>6</v>
      </c>
      <c r="B4">
        <v>16200</v>
      </c>
      <c r="E4" s="3" t="s">
        <v>6</v>
      </c>
      <c r="F4">
        <v>485000</v>
      </c>
    </row>
    <row r="5" spans="1:13" x14ac:dyDescent="0.3">
      <c r="A5" s="3" t="s">
        <v>17</v>
      </c>
      <c r="B5">
        <v>253000</v>
      </c>
      <c r="E5" s="3" t="s">
        <v>17</v>
      </c>
      <c r="F5">
        <v>347000</v>
      </c>
    </row>
    <row r="6" spans="1:13" x14ac:dyDescent="0.3">
      <c r="A6" s="3" t="s">
        <v>40</v>
      </c>
      <c r="E6" s="3" t="s">
        <v>40</v>
      </c>
    </row>
    <row r="7" spans="1:13" x14ac:dyDescent="0.3">
      <c r="A7" s="3" t="s">
        <v>14</v>
      </c>
      <c r="B7">
        <v>473200</v>
      </c>
      <c r="E7" s="3" t="s">
        <v>14</v>
      </c>
      <c r="F7">
        <v>1408000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FCE78-B25C-4469-BC94-B843E0164C26}">
  <sheetPr codeName="Sayfa6"/>
  <dimension ref="A1"/>
  <sheetViews>
    <sheetView showGridLines="0" showRowColHeaders="0" workbookViewId="0">
      <selection activeCell="R17" sqref="R17"/>
    </sheetView>
  </sheetViews>
  <sheetFormatPr defaultColWidth="9.109375" defaultRowHeight="14.4" x14ac:dyDescent="0.3"/>
  <cols>
    <col min="1" max="16384" width="9.109375" style="4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ANASAYFA</vt:lpstr>
      <vt:lpstr>AYARLAR</vt:lpstr>
      <vt:lpstr>BUTCE</vt:lpstr>
      <vt:lpstr>DATA</vt:lpstr>
      <vt:lpstr>HESAPLAMALAR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Hüseyin Görgüç; Melih Yıldırım</dc:creator>
  <cp:lastModifiedBy>HÜSEYİN GÖRGÜÇ</cp:lastModifiedBy>
  <dcterms:created xsi:type="dcterms:W3CDTF">2015-06-05T18:17:20Z</dcterms:created>
  <dcterms:modified xsi:type="dcterms:W3CDTF">2025-12-25T20:25:32Z</dcterms:modified>
</cp:coreProperties>
</file>